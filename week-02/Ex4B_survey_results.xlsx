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uisalicea\Documents\DataAnalytics\week-01\"/>
    </mc:Choice>
  </mc:AlternateContent>
  <xr:revisionPtr revIDLastSave="0" documentId="8_{23C61D00-7311-4CE0-8F7D-E8AD2E570C8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cn.WorksheetConnection_IchibanMikoshiSushi19.xlsxTable1" hidden="1">Table1[]</definedName>
    <definedName name="_xlcn.WorksheetConnection_Sheet1JJ" hidden="1">Sheet1!$J:$J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J:$J"/>
          <x15:modelTable id="Table1" name="Table1" connection="WorksheetConnection_Ichiban Mikoshi Sushi(1-9)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  <c r="J11" i="1"/>
  <c r="M11" i="1"/>
  <c r="I11" i="1"/>
  <c r="D11" i="1"/>
  <c r="D2" i="1"/>
  <c r="D3" i="1"/>
  <c r="D4" i="1"/>
  <c r="D5" i="1"/>
  <c r="D6" i="1"/>
  <c r="D7" i="1"/>
  <c r="D8" i="1"/>
  <c r="D9" i="1"/>
  <c r="D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33EF5D-F409-4A88-8B2A-CA482A3ED3D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98A8040-3DBF-4EBB-AC34-F02FD8F402CC}" name="WorksheetConnection_Ichiban Mikoshi Sushi(1-9)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IchibanMikoshiSushi19.xlsxTable1"/>
        </x15:connection>
      </ext>
    </extLst>
  </connection>
  <connection id="3" xr16:uid="{27BEC547-2DB2-4E49-9866-FB5440EBAB66}" name="WorksheetConnection_Sheet1!$J:$J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JJ"/>
        </x15:connection>
      </ext>
    </extLst>
  </connection>
</connections>
</file>

<file path=xl/sharedStrings.xml><?xml version="1.0" encoding="utf-8"?>
<sst xmlns="http://schemas.openxmlformats.org/spreadsheetml/2006/main" count="70" uniqueCount="44">
  <si>
    <t>ID</t>
  </si>
  <si>
    <t>Start time</t>
  </si>
  <si>
    <t>Completion time</t>
  </si>
  <si>
    <t>Email</t>
  </si>
  <si>
    <t>Name</t>
  </si>
  <si>
    <t>Last modified time</t>
  </si>
  <si>
    <t>How often do you visit us?</t>
  </si>
  <si>
    <t>What would you rank our hospitality.</t>
  </si>
  <si>
    <t>How long do you wait for your order</t>
  </si>
  <si>
    <t>What is your favorite order?</t>
  </si>
  <si>
    <t>What is your favorite beverage?</t>
  </si>
  <si>
    <t>When is your birthday?</t>
  </si>
  <si>
    <t>anonymous</t>
  </si>
  <si>
    <t>Weekly</t>
  </si>
  <si>
    <t>5min-10min</t>
  </si>
  <si>
    <t>California Roll or Shrimp Tempura</t>
  </si>
  <si>
    <t>Shirley Temple with Sprite</t>
  </si>
  <si>
    <t>Never</t>
  </si>
  <si>
    <t>15min-20min</t>
  </si>
  <si>
    <t xml:space="preserve">Salmon nigiri </t>
  </si>
  <si>
    <t>Water</t>
  </si>
  <si>
    <t>inara, tempura shrimp roll, salmon avocado roll</t>
  </si>
  <si>
    <t>jasmine tea</t>
  </si>
  <si>
    <t>+20min</t>
  </si>
  <si>
    <t>The dragon roll</t>
  </si>
  <si>
    <t xml:space="preserve">Pepsi </t>
  </si>
  <si>
    <t>none</t>
  </si>
  <si>
    <t>beer</t>
  </si>
  <si>
    <t>Carbonara Spaghetti</t>
  </si>
  <si>
    <t>Coke</t>
  </si>
  <si>
    <t>everything</t>
  </si>
  <si>
    <t>soju</t>
  </si>
  <si>
    <t>Daily</t>
  </si>
  <si>
    <t>10min-15min</t>
  </si>
  <si>
    <t>My favorite order is the jerk shrimp tempura rolls.</t>
  </si>
  <si>
    <t>Strawberry Sake</t>
  </si>
  <si>
    <t>Monthly</t>
  </si>
  <si>
    <t>1min-5min</t>
  </si>
  <si>
    <t>California roll</t>
  </si>
  <si>
    <t xml:space="preserve">Diet coke </t>
  </si>
  <si>
    <t>Time to complete</t>
  </si>
  <si>
    <t>Row Labels</t>
  </si>
  <si>
    <t>Grand Total</t>
  </si>
  <si>
    <t>Sum of What would you rank our hospitality.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</si>
</sst>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\ h:mm:ss"/>
    <numFmt numFmtId="165" formatCode="mm/dd/yyyy\ h:mm:ss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quotePrefix="1"/>
    <xf numFmtId="165" fontId="0" fillId="0" borderId="0" xfId="0" applyNumberFormat="1"/>
    <xf numFmtId="45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26"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0.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8" formatCode="mm:ss"/>
    </dxf>
    <dxf>
      <numFmt numFmtId="28" formatCode="mm:ss"/>
    </dxf>
    <dxf>
      <numFmt numFmtId="165" formatCode="mm/dd/yyyy\ h:mm:ss"/>
    </dxf>
    <dxf>
      <numFmt numFmtId="165" formatCode="mm/dd/yyyy\ h:mm:ss"/>
    </dxf>
    <dxf>
      <numFmt numFmtId="165" formatCode="mm/dd/yyyy\ h:mm:ss"/>
    </dxf>
    <dxf>
      <numFmt numFmtId="165" formatCode="mm/dd/yyyy\ 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[Ichiban Mikoshi Sushi(1-9).xlsx]Sheet1!PivotTable32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Sheet1!$H$17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Sheet1!$G$18:$G$36</c:f>
              <c:multiLvlStrCache>
                <c:ptCount val="9"/>
                <c:lvl>
                  <c:pt idx="0">
                    <c:v>anonymous</c:v>
                  </c:pt>
                  <c:pt idx="1">
                    <c:v>anonymous</c:v>
                  </c:pt>
                  <c:pt idx="2">
                    <c:v>anonymous</c:v>
                  </c:pt>
                  <c:pt idx="3">
                    <c:v>anonymous</c:v>
                  </c:pt>
                  <c:pt idx="4">
                    <c:v>anonymous</c:v>
                  </c:pt>
                  <c:pt idx="5">
                    <c:v>anonymous</c:v>
                  </c:pt>
                  <c:pt idx="6">
                    <c:v>anonymous</c:v>
                  </c:pt>
                  <c:pt idx="7">
                    <c:v>anonymous</c:v>
                  </c:pt>
                  <c:pt idx="8">
                    <c:v>anonymous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</c:lvl>
              </c:multiLvlStrCache>
            </c:multiLvlStrRef>
          </c:cat>
          <c:val>
            <c:numRef>
              <c:f>Sheet1!$H$18:$H$36</c:f>
              <c:numCache>
                <c:formatCode>General</c:formatCode>
                <c:ptCount val="9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1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228-4BC6-9747-7C8D353C0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9782656"/>
        <c:axId val="1179792736"/>
      </c:barChart>
      <c:catAx>
        <c:axId val="117978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792736"/>
        <c:crosses val="autoZero"/>
        <c:auto val="1"/>
        <c:lblAlgn val="ctr"/>
        <c:lblOffset val="100"/>
        <c:noMultiLvlLbl val="0"/>
      </c:catAx>
      <c:valAx>
        <c:axId val="117979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78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507798</xdr:colOff>
      <xdr:row>19</xdr:row>
      <xdr:rowOff>154831</xdr:rowOff>
    </xdr:from>
    <xdr:to>
      <xdr:col>5</xdr:col>
      <xdr:colOff>888797</xdr:colOff>
      <xdr:row>34</xdr:row>
      <xdr:rowOff>135781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76979C-D5F8-B932-CFAE-69018C48A2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alicea" refreshedDate="46122.653295138887" createdVersion="8" refreshedVersion="8" minRefreshableVersion="3" recordCount="9" xr:uid="{3920CC49-547F-4CE1-998A-A36CA5771A63}">
  <cacheSource type="worksheet">
    <worksheetSource name="Table1"/>
  </cacheSource>
  <cacheFields count="19">
    <cacheField name="ID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Start time" numFmtId="165">
      <sharedItems containsSemiMixedTypes="0" containsNonDate="0" containsDate="1" containsString="0" minDate="2026-04-08T09:49:20" maxDate="2026-04-09T13:18:18"/>
    </cacheField>
    <cacheField name="Completion time" numFmtId="165">
      <sharedItems containsSemiMixedTypes="0" containsNonDate="0" containsDate="1" containsString="0" minDate="2026-04-08T09:51:25" maxDate="2026-04-09T13:19:18"/>
    </cacheField>
    <cacheField name="Time to complete" numFmtId="45">
      <sharedItems containsSemiMixedTypes="0" containsNonDate="0" containsDate="1" containsString="0" minDate="1899-12-30T00:00:25" maxDate="1899-12-30T00:07:05" count="9">
        <d v="1899-12-30T00:02:05"/>
        <d v="1899-12-30T00:01:11"/>
        <d v="1899-12-30T00:01:19"/>
        <d v="1899-12-30T00:00:30"/>
        <d v="1899-12-30T00:00:25"/>
        <d v="1899-12-30T00:03:34"/>
        <d v="1899-12-30T00:00:58"/>
        <d v="1899-12-30T00:07:05"/>
        <d v="1899-12-30T00:01:00"/>
      </sharedItems>
      <fieldGroup par="18"/>
    </cacheField>
    <cacheField name="Email" numFmtId="0">
      <sharedItems count="1">
        <s v="anonymous"/>
      </sharedItems>
    </cacheField>
    <cacheField name="Name" numFmtId="0">
      <sharedItems containsNonDate="0" containsString="0" containsBlank="1" count="1">
        <m/>
      </sharedItems>
    </cacheField>
    <cacheField name="Last modified time" numFmtId="164">
      <sharedItems containsNonDate="0" containsString="0" containsBlank="1" count="1">
        <m/>
      </sharedItems>
    </cacheField>
    <cacheField name="How often do you visit us?" numFmtId="0">
      <sharedItems count="4">
        <s v="Weekly"/>
        <s v="Never"/>
        <s v="Daily"/>
        <s v="Monthly"/>
      </sharedItems>
    </cacheField>
    <cacheField name="What would you rank our hospitality." numFmtId="0">
      <sharedItems containsSemiMixedTypes="0" containsString="0" containsNumber="1" containsInteger="1" minValue="1" maxValue="5"/>
    </cacheField>
    <cacheField name="How long do you wait for your order" numFmtId="0">
      <sharedItems count="5">
        <s v="5min-10min"/>
        <s v="15min-20min"/>
        <s v="+20min"/>
        <s v="10min-15min"/>
        <s v="1min-5min"/>
      </sharedItems>
    </cacheField>
    <cacheField name="What is your favorite order?" numFmtId="0">
      <sharedItems count="9">
        <s v="California Roll or Shrimp Tempura"/>
        <s v="Salmon nigiri "/>
        <s v="inara, tempura shrimp roll, salmon avocado roll"/>
        <s v="The dragon roll"/>
        <s v="none"/>
        <s v="Carbonara Spaghetti"/>
        <s v="everything"/>
        <s v="My favorite order is the jerk shrimp tempura rolls."/>
        <s v="California roll"/>
      </sharedItems>
    </cacheField>
    <cacheField name="What is your favorite beverage?" numFmtId="0">
      <sharedItems/>
    </cacheField>
    <cacheField name="When is your birthday?" numFmtId="14">
      <sharedItems containsSemiMixedTypes="0" containsNonDate="0" containsDate="1" containsString="0" minDate="1981-12-30T00:00:00" maxDate="2026-04-11T00:00:00" count="9">
        <d v="1997-08-01T00:00:00"/>
        <d v="1998-04-20T00:00:00"/>
        <d v="1981-12-30T00:00:00"/>
        <d v="2026-04-10T00:00:00"/>
        <d v="2026-04-08T00:00:00"/>
        <d v="1996-01-16T00:00:00"/>
        <d v="1996-02-27T00:00:00"/>
        <d v="2026-01-01T00:00:00"/>
        <d v="1998-09-10T00:00:00"/>
      </sharedItems>
      <fieldGroup par="15"/>
    </cacheField>
    <cacheField name="Months (When is your birthday?)" numFmtId="0" databaseField="0">
      <fieldGroup base="12">
        <rangePr groupBy="months" startDate="1981-12-30T00:00:00" endDate="2026-04-11T00:00:00"/>
        <groupItems count="14">
          <s v="&lt;12/30/198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11/2026"/>
        </groupItems>
      </fieldGroup>
    </cacheField>
    <cacheField name="Quarters (When is your birthday?)" numFmtId="0" databaseField="0">
      <fieldGroup base="12">
        <rangePr groupBy="quarters" startDate="1981-12-30T00:00:00" endDate="2026-04-11T00:00:00"/>
        <groupItems count="6">
          <s v="&lt;12/30/1981"/>
          <s v="Qtr1"/>
          <s v="Qtr2"/>
          <s v="Qtr3"/>
          <s v="Qtr4"/>
          <s v="&gt;4/11/2026"/>
        </groupItems>
      </fieldGroup>
    </cacheField>
    <cacheField name="Years (When is your birthday?)" numFmtId="0" databaseField="0">
      <fieldGroup base="12">
        <rangePr groupBy="years" startDate="1981-12-30T00:00:00" endDate="2026-04-11T00:00:00"/>
        <groupItems count="48">
          <s v="&lt;12/30/1981"/>
          <s v="1981"/>
          <s v="1982"/>
          <s v="1983"/>
          <s v="1984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2026"/>
          <s v="&gt;4/11/2026"/>
        </groupItems>
      </fieldGroup>
    </cacheField>
    <cacheField name="Seconds (Time to complete)" numFmtId="0" databaseField="0">
      <fieldGroup base="3">
        <rangePr groupBy="seconds" startDate="1899-12-30T00:00:25" endDate="1899-12-30T00:07:05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Minutes (Time to complete)" numFmtId="0" databaseField="0">
      <fieldGroup base="3">
        <rangePr groupBy="minutes" startDate="1899-12-30T00:00:25" endDate="1899-12-30T00:07:05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Time to complete)" numFmtId="0" databaseField="0">
      <fieldGroup base="3">
        <rangePr groupBy="hours" startDate="1899-12-30T00:00:25" endDate="1899-12-30T00:07:05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d v="2026-04-08T09:49:20"/>
    <d v="2026-04-08T09:51:25"/>
    <x v="0"/>
    <x v="0"/>
    <x v="0"/>
    <x v="0"/>
    <x v="0"/>
    <n v="5"/>
    <x v="0"/>
    <x v="0"/>
    <s v="Shirley Temple with Sprite"/>
    <x v="0"/>
  </r>
  <r>
    <x v="1"/>
    <d v="2026-04-08T12:56:01"/>
    <d v="2026-04-08T12:57:12"/>
    <x v="1"/>
    <x v="0"/>
    <x v="0"/>
    <x v="0"/>
    <x v="1"/>
    <n v="4"/>
    <x v="1"/>
    <x v="1"/>
    <s v="Water"/>
    <x v="1"/>
  </r>
  <r>
    <x v="2"/>
    <d v="2026-04-08T13:33:00"/>
    <d v="2026-04-08T13:34:19"/>
    <x v="2"/>
    <x v="0"/>
    <x v="0"/>
    <x v="0"/>
    <x v="0"/>
    <n v="5"/>
    <x v="1"/>
    <x v="2"/>
    <s v="jasmine tea"/>
    <x v="2"/>
  </r>
  <r>
    <x v="3"/>
    <d v="2026-04-08T13:47:43"/>
    <d v="2026-04-08T13:48:13"/>
    <x v="3"/>
    <x v="0"/>
    <x v="0"/>
    <x v="0"/>
    <x v="0"/>
    <n v="5"/>
    <x v="2"/>
    <x v="3"/>
    <s v="Pepsi "/>
    <x v="3"/>
  </r>
  <r>
    <x v="4"/>
    <d v="2026-04-08T14:42:24"/>
    <d v="2026-04-08T14:42:49"/>
    <x v="4"/>
    <x v="0"/>
    <x v="0"/>
    <x v="0"/>
    <x v="0"/>
    <n v="1"/>
    <x v="2"/>
    <x v="4"/>
    <s v="beer"/>
    <x v="4"/>
  </r>
  <r>
    <x v="5"/>
    <d v="2026-04-08T14:46:41"/>
    <d v="2026-04-08T14:50:15"/>
    <x v="5"/>
    <x v="0"/>
    <x v="0"/>
    <x v="0"/>
    <x v="0"/>
    <n v="4"/>
    <x v="0"/>
    <x v="5"/>
    <s v="Coke"/>
    <x v="5"/>
  </r>
  <r>
    <x v="6"/>
    <d v="2026-04-09T11:38:23"/>
    <d v="2026-04-09T11:39:21"/>
    <x v="6"/>
    <x v="0"/>
    <x v="0"/>
    <x v="0"/>
    <x v="0"/>
    <n v="5"/>
    <x v="0"/>
    <x v="6"/>
    <s v="soju"/>
    <x v="6"/>
  </r>
  <r>
    <x v="7"/>
    <d v="2026-04-09T11:32:52"/>
    <d v="2026-04-09T11:39:57"/>
    <x v="7"/>
    <x v="0"/>
    <x v="0"/>
    <x v="0"/>
    <x v="2"/>
    <n v="5"/>
    <x v="3"/>
    <x v="7"/>
    <s v="Strawberry Sake"/>
    <x v="7"/>
  </r>
  <r>
    <x v="8"/>
    <d v="2026-04-09T13:18:18"/>
    <d v="2026-04-09T13:19:18"/>
    <x v="8"/>
    <x v="0"/>
    <x v="0"/>
    <x v="0"/>
    <x v="3"/>
    <n v="5"/>
    <x v="4"/>
    <x v="8"/>
    <s v="Diet coke 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CDB468-3A70-4B07-8057-407FC572BEF5}" name="PivotTable3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G17:H36" firstHeaderRow="1" firstDataRow="1" firstDataCol="1"/>
  <pivotFields count="19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165" showAll="0"/>
    <pivotField numFmtId="165" showAll="0"/>
    <pivotField numFmtId="45" showAll="0">
      <items count="10">
        <item x="4"/>
        <item x="3"/>
        <item x="6"/>
        <item x="8"/>
        <item x="1"/>
        <item x="2"/>
        <item x="0"/>
        <item x="5"/>
        <item x="7"/>
        <item t="default"/>
      </items>
    </pivotField>
    <pivotField axis="axisRow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dataField="1" showAll="0"/>
    <pivotField showAll="0">
      <items count="6">
        <item x="2"/>
        <item x="3"/>
        <item x="1"/>
        <item x="4"/>
        <item x="0"/>
        <item t="default"/>
      </items>
    </pivotField>
    <pivotField showAll="0">
      <items count="10">
        <item x="8"/>
        <item x="0"/>
        <item x="5"/>
        <item x="6"/>
        <item x="2"/>
        <item x="7"/>
        <item x="4"/>
        <item x="1"/>
        <item x="3"/>
        <item t="default"/>
      </items>
    </pivotField>
    <pivotField showAll="0"/>
    <pivotField numFmtId="14" showAll="0">
      <items count="10">
        <item x="2"/>
        <item x="5"/>
        <item x="6"/>
        <item x="0"/>
        <item x="1"/>
        <item x="8"/>
        <item x="7"/>
        <item x="4"/>
        <item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4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2">
    <field x="0"/>
    <field x="4"/>
  </rowFields>
  <rowItems count="19">
    <i>
      <x/>
    </i>
    <i r="1">
      <x/>
    </i>
    <i>
      <x v="1"/>
    </i>
    <i r="1">
      <x/>
    </i>
    <i>
      <x v="2"/>
    </i>
    <i r="1">
      <x/>
    </i>
    <i>
      <x v="3"/>
    </i>
    <i r="1">
      <x/>
    </i>
    <i>
      <x v="4"/>
    </i>
    <i r="1">
      <x/>
    </i>
    <i>
      <x v="5"/>
    </i>
    <i r="1">
      <x/>
    </i>
    <i>
      <x v="6"/>
    </i>
    <i r="1">
      <x/>
    </i>
    <i>
      <x v="7"/>
    </i>
    <i r="1">
      <x/>
    </i>
    <i>
      <x v="8"/>
    </i>
    <i r="1">
      <x/>
    </i>
    <i t="grand">
      <x/>
    </i>
  </rowItems>
  <colItems count="1">
    <i/>
  </colItems>
  <dataFields count="1">
    <dataField name="Sum of What would you rank our hospitality." fld="8" baseField="0" baseItem="0"/>
  </dataFields>
  <chartFormats count="1"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1" totalsRowCount="1">
  <autoFilter ref="A1:M10" xr:uid="{00000000-0009-0000-0100-000001000000}"/>
  <tableColumns count="13">
    <tableColumn id="1" xr3:uid="{00000000-0010-0000-0000-000001000000}" name="ID" dataDxfId="25" totalsRowDxfId="24"/>
    <tableColumn id="2" xr3:uid="{00000000-0010-0000-0000-000002000000}" name="Start time" dataDxfId="23" totalsRowDxfId="22"/>
    <tableColumn id="3" xr3:uid="{00000000-0010-0000-0000-000003000000}" name="Completion time" dataDxfId="21" totalsRowDxfId="20"/>
    <tableColumn id="13" xr3:uid="{49B5FC3D-9EED-45B1-9C23-B0CB5BA16CD8}" name="Time to complete" totalsRowFunction="custom" dataDxfId="19" totalsRowDxfId="18">
      <calculatedColumnFormula>C2-B2</calculatedColumnFormula>
      <totalsRowFormula>AVERAGE(D2:D10)</totalsRowFormula>
    </tableColumn>
    <tableColumn id="4" xr3:uid="{00000000-0010-0000-0000-000004000000}" name="Email" dataDxfId="17" totalsRowDxfId="16"/>
    <tableColumn id="5" xr3:uid="{00000000-0010-0000-0000-000005000000}" name="Name" dataDxfId="15" totalsRowDxfId="14"/>
    <tableColumn id="6" xr3:uid="{00000000-0010-0000-0000-000006000000}" name="Last modified time" dataDxfId="13" totalsRowDxfId="12"/>
    <tableColumn id="7" xr3:uid="{00000000-0010-0000-0000-000007000000}" name="How often do you visit us?" totalsRowFunction="custom" dataDxfId="11" totalsRowDxfId="10">
      <totalsRowFormula>SUM(COUNTIF(Table1[How often do you visit us?],"Weekly"),COUNTIF(Table1[How often do you visit us?],"Daily"),COUNTIF(Table1[How often do you visit us?],"Monthly"),COUNTIF(Table1[How often do you visit us?],"Never"))</totalsRowFormula>
    </tableColumn>
    <tableColumn id="8" xr3:uid="{00000000-0010-0000-0000-000008000000}" name="What would you rank our hospitality." totalsRowFunction="custom" dataDxfId="9" totalsRowDxfId="8">
      <totalsRowFormula>AVERAGE(I2:I10)</totalsRowFormula>
    </tableColumn>
    <tableColumn id="9" xr3:uid="{00000000-0010-0000-0000-000009000000}" name="How long do you wait for your order" totalsRowFunction="custom" dataDxfId="7" totalsRowDxfId="6">
      <totalsRowFormula>SUM(COUNTIF(Table1[How long do you wait for your order], "5min-10min"), COUNTIF(Table1[How long do you wait for your order], "+20min"), COUNTIF(Table1[How long do you wait for your order], "10min-15min"), COUNTIF(Table1[How long do you wait for your order], "1min-5min"))</totalsRowFormula>
    </tableColumn>
    <tableColumn id="10" xr3:uid="{00000000-0010-0000-0000-00000A000000}" name="What is your favorite order?" dataDxfId="5" totalsRowDxfId="4"/>
    <tableColumn id="11" xr3:uid="{00000000-0010-0000-0000-00000B000000}" name="What is your favorite beverage?" dataDxfId="3" totalsRowDxfId="2"/>
    <tableColumn id="12" xr3:uid="{00000000-0010-0000-0000-00000C000000}" name="When is your birthday?" totalsRowFunction="custom" dataDxfId="1" totalsRowDxfId="0">
      <totalsRowFormula>AVERAGE(M2:M10)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tabSelected="1" zoomScale="77" workbookViewId="0">
      <selection activeCell="U27" sqref="U27"/>
    </sheetView>
  </sheetViews>
  <sheetFormatPr defaultRowHeight="14.5" x14ac:dyDescent="0.35"/>
  <cols>
    <col min="1" max="1" width="20" bestFit="1" customWidth="1"/>
    <col min="2" max="2" width="20" style="4" bestFit="1" customWidth="1"/>
    <col min="3" max="3" width="20" bestFit="1" customWidth="1"/>
    <col min="4" max="4" width="20" style="5" customWidth="1"/>
    <col min="5" max="6" width="20" bestFit="1" customWidth="1"/>
    <col min="7" max="7" width="14.453125" bestFit="1" customWidth="1"/>
    <col min="8" max="8" width="39" bestFit="1" customWidth="1"/>
    <col min="9" max="13" width="20" bestFit="1" customWidth="1"/>
    <col min="20" max="20" width="15.54296875" bestFit="1" customWidth="1"/>
    <col min="21" max="21" width="28.453125" bestFit="1" customWidth="1"/>
    <col min="22" max="22" width="23.7265625" bestFit="1" customWidth="1"/>
  </cols>
  <sheetData>
    <row r="1" spans="1:13" x14ac:dyDescent="0.35">
      <c r="A1" t="s">
        <v>0</v>
      </c>
      <c r="B1" s="4" t="s">
        <v>1</v>
      </c>
      <c r="C1" s="4" t="s">
        <v>2</v>
      </c>
      <c r="D1" s="5" t="s">
        <v>40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5">
      <c r="A2">
        <v>1</v>
      </c>
      <c r="B2" s="4">
        <v>46120.409259259301</v>
      </c>
      <c r="C2" s="4">
        <v>46120.410706018498</v>
      </c>
      <c r="D2" s="5">
        <f t="shared" ref="D2:D10" si="0">C2-B2</f>
        <v>1.4467591972788796E-3</v>
      </c>
      <c r="E2" t="s">
        <v>12</v>
      </c>
      <c r="G2" s="1"/>
      <c r="H2" t="s">
        <v>13</v>
      </c>
      <c r="I2">
        <v>5</v>
      </c>
      <c r="J2" t="s">
        <v>14</v>
      </c>
      <c r="K2" t="s">
        <v>15</v>
      </c>
      <c r="L2" t="s">
        <v>16</v>
      </c>
      <c r="M2" s="2">
        <v>35643</v>
      </c>
    </row>
    <row r="3" spans="1:13" x14ac:dyDescent="0.35">
      <c r="A3">
        <v>2</v>
      </c>
      <c r="B3" s="4">
        <v>46120.538900462998</v>
      </c>
      <c r="C3" s="4">
        <v>46120.539722222202</v>
      </c>
      <c r="D3" s="5">
        <f t="shared" si="0"/>
        <v>8.2175920397276059E-4</v>
      </c>
      <c r="E3" t="s">
        <v>12</v>
      </c>
      <c r="G3" s="1"/>
      <c r="H3" t="s">
        <v>17</v>
      </c>
      <c r="I3">
        <v>4</v>
      </c>
      <c r="J3" t="s">
        <v>18</v>
      </c>
      <c r="K3" t="s">
        <v>19</v>
      </c>
      <c r="L3" t="s">
        <v>20</v>
      </c>
      <c r="M3" s="2">
        <v>35905</v>
      </c>
    </row>
    <row r="4" spans="1:13" x14ac:dyDescent="0.35">
      <c r="A4">
        <v>3</v>
      </c>
      <c r="B4" s="4">
        <v>46120.564583333296</v>
      </c>
      <c r="C4" s="4">
        <v>46120.565497685202</v>
      </c>
      <c r="D4" s="5">
        <f t="shared" si="0"/>
        <v>9.1435190552147105E-4</v>
      </c>
      <c r="E4" t="s">
        <v>12</v>
      </c>
      <c r="G4" s="1"/>
      <c r="H4" t="s">
        <v>13</v>
      </c>
      <c r="I4">
        <v>5</v>
      </c>
      <c r="J4" t="s">
        <v>18</v>
      </c>
      <c r="K4" t="s">
        <v>21</v>
      </c>
      <c r="L4" t="s">
        <v>22</v>
      </c>
      <c r="M4" s="2">
        <v>29950</v>
      </c>
    </row>
    <row r="5" spans="1:13" x14ac:dyDescent="0.35">
      <c r="A5">
        <v>4</v>
      </c>
      <c r="B5" s="4">
        <v>46120.574803240699</v>
      </c>
      <c r="C5" s="4">
        <v>46120.575150463003</v>
      </c>
      <c r="D5" s="5">
        <f t="shared" si="0"/>
        <v>3.4722230338957161E-4</v>
      </c>
      <c r="E5" t="s">
        <v>12</v>
      </c>
      <c r="G5" s="1"/>
      <c r="H5" t="s">
        <v>13</v>
      </c>
      <c r="I5">
        <v>5</v>
      </c>
      <c r="J5" s="3" t="s">
        <v>23</v>
      </c>
      <c r="K5" t="s">
        <v>24</v>
      </c>
      <c r="L5" t="s">
        <v>25</v>
      </c>
      <c r="M5" s="2">
        <v>46122</v>
      </c>
    </row>
    <row r="6" spans="1:13" x14ac:dyDescent="0.35">
      <c r="A6">
        <v>5</v>
      </c>
      <c r="B6" s="4">
        <v>46120.612777777802</v>
      </c>
      <c r="C6" s="4">
        <v>46120.613067129598</v>
      </c>
      <c r="D6" s="5">
        <f t="shared" si="0"/>
        <v>2.8935179580003023E-4</v>
      </c>
      <c r="E6" t="s">
        <v>12</v>
      </c>
      <c r="G6" s="1"/>
      <c r="H6" t="s">
        <v>13</v>
      </c>
      <c r="I6">
        <v>1</v>
      </c>
      <c r="J6" s="3" t="s">
        <v>23</v>
      </c>
      <c r="K6" t="s">
        <v>26</v>
      </c>
      <c r="L6" t="s">
        <v>27</v>
      </c>
      <c r="M6" s="2">
        <v>46120</v>
      </c>
    </row>
    <row r="7" spans="1:13" x14ac:dyDescent="0.35">
      <c r="A7">
        <v>6</v>
      </c>
      <c r="B7" s="4">
        <v>46120.615752314799</v>
      </c>
      <c r="C7" s="4">
        <v>46120.618229166699</v>
      </c>
      <c r="D7" s="5">
        <f t="shared" si="0"/>
        <v>2.476851899700705E-3</v>
      </c>
      <c r="E7" t="s">
        <v>12</v>
      </c>
      <c r="G7" s="1"/>
      <c r="H7" t="s">
        <v>13</v>
      </c>
      <c r="I7">
        <v>4</v>
      </c>
      <c r="J7" t="s">
        <v>14</v>
      </c>
      <c r="K7" t="s">
        <v>28</v>
      </c>
      <c r="L7" t="s">
        <v>29</v>
      </c>
      <c r="M7" s="2">
        <v>35080</v>
      </c>
    </row>
    <row r="8" spans="1:13" x14ac:dyDescent="0.35">
      <c r="A8">
        <v>7</v>
      </c>
      <c r="B8" s="4">
        <v>46121.484988425902</v>
      </c>
      <c r="C8" s="4">
        <v>46121.485659722202</v>
      </c>
      <c r="D8" s="5">
        <f t="shared" si="0"/>
        <v>6.7129630042472854E-4</v>
      </c>
      <c r="E8" t="s">
        <v>12</v>
      </c>
      <c r="G8" s="1"/>
      <c r="H8" t="s">
        <v>13</v>
      </c>
      <c r="I8">
        <v>5</v>
      </c>
      <c r="J8" t="s">
        <v>14</v>
      </c>
      <c r="K8" t="s">
        <v>30</v>
      </c>
      <c r="L8" t="s">
        <v>31</v>
      </c>
      <c r="M8" s="2">
        <v>35122</v>
      </c>
    </row>
    <row r="9" spans="1:13" x14ac:dyDescent="0.35">
      <c r="A9">
        <v>8</v>
      </c>
      <c r="B9" s="4">
        <v>46121.481157407397</v>
      </c>
      <c r="C9" s="4">
        <v>46121.486076388901</v>
      </c>
      <c r="D9" s="5">
        <f t="shared" si="0"/>
        <v>4.9189815035788342E-3</v>
      </c>
      <c r="E9" t="s">
        <v>12</v>
      </c>
      <c r="G9" s="1"/>
      <c r="H9" t="s">
        <v>32</v>
      </c>
      <c r="I9">
        <v>5</v>
      </c>
      <c r="J9" t="s">
        <v>33</v>
      </c>
      <c r="K9" t="s">
        <v>34</v>
      </c>
      <c r="L9" t="s">
        <v>35</v>
      </c>
      <c r="M9" s="2">
        <v>46023</v>
      </c>
    </row>
    <row r="10" spans="1:13" x14ac:dyDescent="0.35">
      <c r="A10">
        <v>9</v>
      </c>
      <c r="B10" s="4">
        <v>46121.554375</v>
      </c>
      <c r="C10" s="4">
        <v>46121.555069444403</v>
      </c>
      <c r="D10" s="5">
        <f t="shared" si="0"/>
        <v>6.9444440305233002E-4</v>
      </c>
      <c r="E10" t="s">
        <v>12</v>
      </c>
      <c r="G10" s="1"/>
      <c r="H10" t="s">
        <v>36</v>
      </c>
      <c r="I10">
        <v>5</v>
      </c>
      <c r="J10" t="s">
        <v>37</v>
      </c>
      <c r="K10" t="s">
        <v>38</v>
      </c>
      <c r="L10" t="s">
        <v>39</v>
      </c>
      <c r="M10" s="2">
        <v>36048</v>
      </c>
    </row>
    <row r="11" spans="1:13" x14ac:dyDescent="0.35">
      <c r="C11" s="4"/>
      <c r="D11" s="5">
        <f>AVERAGE(D2:D10)</f>
        <v>1.3978909458577011E-3</v>
      </c>
      <c r="G11" s="1"/>
      <c r="H11">
        <f>SUM(COUNTIF(Table1[How often do you visit us?],"Weekly"),COUNTIF(Table1[How often do you visit us?],"Daily"),COUNTIF(Table1[How often do you visit us?],"Monthly"),COUNTIF(Table1[How often do you visit us?],"Never"))</f>
        <v>9</v>
      </c>
      <c r="I11" s="6">
        <f>AVERAGE(I2:I10)</f>
        <v>4.333333333333333</v>
      </c>
      <c r="J11">
        <f>SUM(COUNTIF(Table1[How long do you wait for your order], "5min-10min"), COUNTIF(Table1[How long do you wait for your order], "+20min"), COUNTIF(Table1[How long do you wait for your order], "10min-15min"), COUNTIF(Table1[How long do you wait for your order], "1min-5min"))</f>
        <v>7</v>
      </c>
      <c r="M11" s="2">
        <f>AVERAGE(M2:M10)</f>
        <v>38445.888888888891</v>
      </c>
    </row>
    <row r="17" spans="7:8" x14ac:dyDescent="0.35">
      <c r="G17" s="7" t="s">
        <v>41</v>
      </c>
      <c r="H17" t="s">
        <v>43</v>
      </c>
    </row>
    <row r="18" spans="7:8" x14ac:dyDescent="0.35">
      <c r="G18" s="8">
        <v>1</v>
      </c>
      <c r="H18">
        <v>5</v>
      </c>
    </row>
    <row r="19" spans="7:8" x14ac:dyDescent="0.35">
      <c r="G19" s="9" t="s">
        <v>12</v>
      </c>
      <c r="H19">
        <v>5</v>
      </c>
    </row>
    <row r="20" spans="7:8" x14ac:dyDescent="0.35">
      <c r="G20" s="8">
        <v>2</v>
      </c>
      <c r="H20">
        <v>4</v>
      </c>
    </row>
    <row r="21" spans="7:8" x14ac:dyDescent="0.35">
      <c r="G21" s="9" t="s">
        <v>12</v>
      </c>
      <c r="H21">
        <v>4</v>
      </c>
    </row>
    <row r="22" spans="7:8" x14ac:dyDescent="0.35">
      <c r="G22" s="8">
        <v>3</v>
      </c>
      <c r="H22">
        <v>5</v>
      </c>
    </row>
    <row r="23" spans="7:8" x14ac:dyDescent="0.35">
      <c r="G23" s="9" t="s">
        <v>12</v>
      </c>
      <c r="H23">
        <v>5</v>
      </c>
    </row>
    <row r="24" spans="7:8" x14ac:dyDescent="0.35">
      <c r="G24" s="8">
        <v>4</v>
      </c>
      <c r="H24">
        <v>5</v>
      </c>
    </row>
    <row r="25" spans="7:8" x14ac:dyDescent="0.35">
      <c r="G25" s="9" t="s">
        <v>12</v>
      </c>
      <c r="H25">
        <v>5</v>
      </c>
    </row>
    <row r="26" spans="7:8" x14ac:dyDescent="0.35">
      <c r="G26" s="8">
        <v>5</v>
      </c>
      <c r="H26">
        <v>1</v>
      </c>
    </row>
    <row r="27" spans="7:8" x14ac:dyDescent="0.35">
      <c r="G27" s="9" t="s">
        <v>12</v>
      </c>
      <c r="H27">
        <v>1</v>
      </c>
    </row>
    <row r="28" spans="7:8" x14ac:dyDescent="0.35">
      <c r="G28" s="8">
        <v>6</v>
      </c>
      <c r="H28">
        <v>4</v>
      </c>
    </row>
    <row r="29" spans="7:8" x14ac:dyDescent="0.35">
      <c r="G29" s="9" t="s">
        <v>12</v>
      </c>
      <c r="H29">
        <v>4</v>
      </c>
    </row>
    <row r="30" spans="7:8" x14ac:dyDescent="0.35">
      <c r="G30" s="8">
        <v>7</v>
      </c>
      <c r="H30">
        <v>5</v>
      </c>
    </row>
    <row r="31" spans="7:8" x14ac:dyDescent="0.35">
      <c r="G31" s="9" t="s">
        <v>12</v>
      </c>
      <c r="H31">
        <v>5</v>
      </c>
    </row>
    <row r="32" spans="7:8" x14ac:dyDescent="0.35">
      <c r="G32" s="8">
        <v>8</v>
      </c>
      <c r="H32">
        <v>5</v>
      </c>
    </row>
    <row r="33" spans="7:8" x14ac:dyDescent="0.35">
      <c r="G33" s="9" t="s">
        <v>12</v>
      </c>
      <c r="H33">
        <v>5</v>
      </c>
    </row>
    <row r="34" spans="7:8" x14ac:dyDescent="0.35">
      <c r="G34" s="8">
        <v>9</v>
      </c>
      <c r="H34">
        <v>5</v>
      </c>
    </row>
    <row r="35" spans="7:8" x14ac:dyDescent="0.35">
      <c r="G35" s="9" t="s">
        <v>12</v>
      </c>
      <c r="H35">
        <v>5</v>
      </c>
    </row>
    <row r="36" spans="7:8" x14ac:dyDescent="0.35">
      <c r="G36" s="8" t="s">
        <v>42</v>
      </c>
      <c r="H36">
        <v>39</v>
      </c>
    </row>
  </sheetData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alicea</dc:creator>
  <cp:lastModifiedBy>luis alicea</cp:lastModifiedBy>
  <dcterms:created xsi:type="dcterms:W3CDTF">2026-04-10T18:19:04Z</dcterms:created>
  <dcterms:modified xsi:type="dcterms:W3CDTF">2026-04-17T16:11:04Z</dcterms:modified>
</cp:coreProperties>
</file>