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alicea\Documents\DataAnalytics\pre-week-2\"/>
    </mc:Choice>
  </mc:AlternateContent>
  <xr:revisionPtr revIDLastSave="0" documentId="13_ncr:1_{A8A4A6D1-A80D-4CCE-9633-C5468E71128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7" sheetId="7" r:id="rId2"/>
    <sheet name="Sheet2" sheetId="2" r:id="rId3"/>
  </sheets>
  <definedNames>
    <definedName name="_xlnm._FilterDatabase" localSheetId="2" hidden="1">Sheet2!$A$1:$B$13</definedName>
  </definedName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</calcChain>
</file>

<file path=xl/sharedStrings.xml><?xml version="1.0" encoding="utf-8"?>
<sst xmlns="http://schemas.openxmlformats.org/spreadsheetml/2006/main" count="67" uniqueCount="32">
  <si>
    <t>Store</t>
  </si>
  <si>
    <t>Monthly Sales</t>
  </si>
  <si>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</si>
  <si>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</si>
  <si>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</si>
  <si>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</si>
  <si>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</si>
  <si>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</si>
  <si>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</si>
  <si>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</si>
  <si>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</si>
  <si>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</si>
  <si>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</si>
  <si>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</si>
  <si>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Mean</t>
  </si>
  <si>
    <t>Median</t>
  </si>
  <si>
    <t>Mode</t>
  </si>
  <si>
    <t>Minimun</t>
  </si>
  <si>
    <t>Maximum</t>
  </si>
  <si>
    <t>Range</t>
  </si>
  <si>
    <t>Standard devietion</t>
  </si>
  <si>
    <t>Region</t>
  </si>
  <si>
    <t>East</t>
  </si>
  <si>
    <t>West</t>
  </si>
  <si>
    <t>Central</t>
  </si>
  <si>
    <t>Catergory</t>
  </si>
  <si>
    <t>Apparel</t>
  </si>
  <si>
    <t>Electronics</t>
  </si>
  <si>
    <t>Home Goods</t>
  </si>
  <si>
    <t>Row Labels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</si>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</sst>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 indent="15"/>
    </xf>
    <xf numFmtId="0" fontId="0" fillId="0" borderId="0" xfId="0" applyAlignment="1">
      <alignment horizontal="right" indent="1"/>
    </xf>
    <xf numFmtId="2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[X.xlsx]Sheet7!PivotTable5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Sheet7!$B$2:$B$5</c:f>
              <c:numCache>
                <c:formatCode>General</c:formatCode>
                <c:ptCount val="3"/>
                <c:pt idx="0">
                  <c:v>159</c:v>
                </c:pt>
                <c:pt idx="1">
                  <c:v>194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1-4B79-A86A-E4C9C2C09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78031"/>
        <c:axId val="1222278511"/>
      </c:barChart>
      <c:catAx>
        <c:axId val="122227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78511"/>
        <c:crosses val="autoZero"/>
        <c:auto val="1"/>
        <c:lblAlgn val="ctr"/>
        <c:lblOffset val="100"/>
        <c:noMultiLvlLbl val="0"/>
      </c:catAx>
      <c:valAx>
        <c:axId val="12222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7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[X.xlsx]Sheet7!PivotTable5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Sheet7!$A$2:$A$5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Sheet7!$B$2:$B$5</c:f>
              <c:numCache>
                <c:formatCode>General</c:formatCode>
                <c:ptCount val="3"/>
                <c:pt idx="0">
                  <c:v>159</c:v>
                </c:pt>
                <c:pt idx="1">
                  <c:v>194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5-4558-A970-952039685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Sheet2!$A$1:$A$13</c:f>
              <c:strCache>
                <c:ptCount val="13"/>
                <c:pt idx="0">
                  <c:v>Store</c:v>
                </c:pt>
                <c:pt idx="1">
                  <c:v>Store 12</c:v>
                </c:pt>
                <c:pt idx="2">
                  <c:v>Store 3</c:v>
                </c:pt>
                <c:pt idx="3">
                  <c:v>Store 7</c:v>
                </c:pt>
                <c:pt idx="4">
                  <c:v>Store 10</c:v>
                </c:pt>
                <c:pt idx="5">
                  <c:v>Store 1</c:v>
                </c:pt>
                <c:pt idx="6">
                  <c:v>Store 11</c:v>
                </c:pt>
                <c:pt idx="7">
                  <c:v>Store 5</c:v>
                </c:pt>
                <c:pt idx="8">
                  <c:v>Store 8</c:v>
                </c:pt>
                <c:pt idx="9">
                  <c:v>Store 6</c:v>
                </c:pt>
                <c:pt idx="10">
                  <c:v>Store 2</c:v>
                </c:pt>
                <c:pt idx="11">
                  <c:v>Store 9</c:v>
                </c:pt>
                <c:pt idx="12">
                  <c:v>Store 4</c:v>
                </c:pt>
              </c:strCache>
            </c:strRef>
          </c:cat>
          <c:val>
            <c:numRef>
              <c:f>Sheet2!$B$1:$B$13</c:f>
              <c:numCache>
                <c:formatCode>General</c:formatCode>
                <c:ptCount val="13"/>
                <c:pt idx="0">
                  <c:v>0</c:v>
                </c:pt>
                <c:pt idx="1">
                  <c:v>68</c:v>
                </c:pt>
                <c:pt idx="2">
                  <c:v>47</c:v>
                </c:pt>
                <c:pt idx="3">
                  <c:v>44</c:v>
                </c:pt>
                <c:pt idx="4">
                  <c:v>43</c:v>
                </c:pt>
                <c:pt idx="5">
                  <c:v>42</c:v>
                </c:pt>
                <c:pt idx="6">
                  <c:v>42</c:v>
                </c:pt>
                <c:pt idx="7">
                  <c:v>41</c:v>
                </c:pt>
                <c:pt idx="8">
                  <c:v>40</c:v>
                </c:pt>
                <c:pt idx="9">
                  <c:v>39</c:v>
                </c:pt>
                <c:pt idx="10">
                  <c:v>38</c:v>
                </c:pt>
                <c:pt idx="11">
                  <c:v>37</c:v>
                </c:pt>
                <c:pt idx="1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9-4946-B47B-2B83F6610C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Sheet2!$A$1:$A$13</c:f>
              <c:strCache>
                <c:ptCount val="13"/>
                <c:pt idx="0">
                  <c:v>Store</c:v>
                </c:pt>
                <c:pt idx="1">
                  <c:v>Store 12</c:v>
                </c:pt>
                <c:pt idx="2">
                  <c:v>Store 3</c:v>
                </c:pt>
                <c:pt idx="3">
                  <c:v>Store 7</c:v>
                </c:pt>
                <c:pt idx="4">
                  <c:v>Store 10</c:v>
                </c:pt>
                <c:pt idx="5">
                  <c:v>Store 1</c:v>
                </c:pt>
                <c:pt idx="6">
                  <c:v>Store 11</c:v>
                </c:pt>
                <c:pt idx="7">
                  <c:v>Store 5</c:v>
                </c:pt>
                <c:pt idx="8">
                  <c:v>Store 8</c:v>
                </c:pt>
                <c:pt idx="9">
                  <c:v>Store 6</c:v>
                </c:pt>
                <c:pt idx="10">
                  <c:v>Store 2</c:v>
                </c:pt>
                <c:pt idx="11">
                  <c:v>Store 9</c:v>
                </c:pt>
                <c:pt idx="12">
                  <c:v>Store 4</c:v>
                </c:pt>
              </c:strCache>
            </c:strRef>
          </c:cat>
          <c:val>
            <c:numRef>
              <c:f>Sheet2!$C$1:$C$13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9-4946-B47B-2B83F6610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72928"/>
        <c:axId val="63665728"/>
      </c:barChart>
      <c:catAx>
        <c:axId val="636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5728"/>
        <c:crosses val="autoZero"/>
        <c:auto val="1"/>
        <c:lblAlgn val="ctr"/>
        <c:lblOffset val="100"/>
        <c:noMultiLvlLbl val="0"/>
      </c:catAx>
      <c:valAx>
        <c:axId val="636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1E74F-CB00-BC0C-8DF1-A56EA8892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603250</xdr:colOff>
      <xdr:row>15</xdr:row>
      <xdr:rowOff>177800</xdr:rowOff>
    </xdr:from>
    <xdr:to>
      <xdr:col>6</xdr:col>
      <xdr:colOff>546100</xdr:colOff>
      <xdr:row>30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87A59E-B2D2-902C-6381-5A68BE727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2</xdr:row>
      <xdr:rowOff>107950</xdr:rowOff>
    </xdr:from>
    <xdr:to>
      <xdr:col>16</xdr:col>
      <xdr:colOff>333375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D3671-5100-C441-54A7-023F42B4F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08.912541898149" createdVersion="8" refreshedVersion="8" minRefreshableVersion="3" recordCount="12" xr:uid="{4A3BEBB7-659B-4AB8-B77C-2BCC61B07131}">
  <cacheSource type="worksheet">
    <worksheetSource ref="A1:D13" sheet="Sheet2"/>
  </cacheSource>
  <cacheFields count="4">
    <cacheField name="Store" numFmtId="0">
      <sharedItems/>
    </cacheField>
    <cacheField name="Monthly Sales" numFmtId="0">
      <sharedItems containsSemiMixedTypes="0" containsString="0" containsNumber="1" containsInteger="1" minValue="36" maxValue="68"/>
    </cacheField>
    <cacheField name="Region" numFmtId="0">
      <sharedItems count="3">
        <s v="East"/>
        <s v="West"/>
        <s v="Central"/>
      </sharedItems>
    </cacheField>
    <cacheField name="Cater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12"/>
    <n v="68"/>
    <x v="0"/>
    <s v="Apparel"/>
  </r>
  <r>
    <s v="Store 3"/>
    <n v="47"/>
    <x v="0"/>
    <s v="Electronics"/>
  </r>
  <r>
    <s v="Store 7"/>
    <n v="44"/>
    <x v="1"/>
    <s v="Apparel"/>
  </r>
  <r>
    <s v="Store 10"/>
    <n v="43"/>
    <x v="1"/>
    <s v="Home Goods"/>
  </r>
  <r>
    <s v="Store 1"/>
    <n v="42"/>
    <x v="2"/>
    <s v="Electronics"/>
  </r>
  <r>
    <s v="Store 11"/>
    <n v="42"/>
    <x v="2"/>
    <s v="Apparel"/>
  </r>
  <r>
    <s v="Store 5"/>
    <n v="41"/>
    <x v="0"/>
    <s v="Home Goods"/>
  </r>
  <r>
    <s v="Store 8"/>
    <n v="40"/>
    <x v="1"/>
    <s v="Electronics"/>
  </r>
  <r>
    <s v="Store 6"/>
    <n v="39"/>
    <x v="2"/>
    <s v="Home Goods"/>
  </r>
  <r>
    <s v="Store 2"/>
    <n v="38"/>
    <x v="0"/>
    <s v="Apparel"/>
  </r>
  <r>
    <s v="Store 9"/>
    <n v="37"/>
    <x v="1"/>
    <s v="Home Goods"/>
  </r>
  <r>
    <s v="Store 4"/>
    <n v="36"/>
    <x v="2"/>
    <s v="Electronic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D8CD7-1EF7-4ADD-A618-B3D2194F673D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4"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C13" sqref="A1:C13"/>
    </sheetView>
  </sheetViews>
  <sheetFormatPr defaultRowHeight="14.5" x14ac:dyDescent="0.35"/>
  <cols>
    <col min="1" max="1" width="19.54296875" customWidth="1"/>
    <col min="2" max="2" width="26.6328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t="s">
        <v>2</v>
      </c>
      <c r="B2">
        <v>42</v>
      </c>
    </row>
    <row r="3" spans="1:2" x14ac:dyDescent="0.35">
      <c r="A3" t="s">
        <v>3</v>
      </c>
      <c r="B3">
        <v>38</v>
      </c>
    </row>
    <row r="4" spans="1:2" x14ac:dyDescent="0.35">
      <c r="A4" t="s">
        <v>4</v>
      </c>
      <c r="B4">
        <v>47</v>
      </c>
    </row>
    <row r="5" spans="1:2" x14ac:dyDescent="0.35">
      <c r="A5" t="s">
        <v>5</v>
      </c>
      <c r="B5">
        <v>36</v>
      </c>
    </row>
    <row r="6" spans="1:2" x14ac:dyDescent="0.35">
      <c r="A6" t="s">
        <v>6</v>
      </c>
      <c r="B6">
        <v>41</v>
      </c>
    </row>
    <row r="7" spans="1:2" x14ac:dyDescent="0.35">
      <c r="A7" t="s">
        <v>7</v>
      </c>
      <c r="B7">
        <v>39</v>
      </c>
    </row>
    <row r="8" spans="1:2" x14ac:dyDescent="0.35">
      <c r="A8" t="s">
        <v>8</v>
      </c>
      <c r="B8">
        <v>44</v>
      </c>
    </row>
    <row r="9" spans="1:2" x14ac:dyDescent="0.35">
      <c r="A9" t="s">
        <v>9</v>
      </c>
      <c r="B9">
        <v>40</v>
      </c>
    </row>
    <row r="10" spans="1:2" x14ac:dyDescent="0.35">
      <c r="A10" t="s">
        <v>10</v>
      </c>
      <c r="B10">
        <v>37</v>
      </c>
    </row>
    <row r="11" spans="1:2" x14ac:dyDescent="0.35">
      <c r="A11" t="s">
        <v>11</v>
      </c>
      <c r="B11">
        <v>43</v>
      </c>
    </row>
    <row r="12" spans="1:2" x14ac:dyDescent="0.35">
      <c r="A12" t="s">
        <v>12</v>
      </c>
      <c r="B12">
        <v>42</v>
      </c>
    </row>
    <row r="13" spans="1:2" x14ac:dyDescent="0.35">
      <c r="A13" t="s">
        <v>13</v>
      </c>
      <c r="B13">
        <v>68</v>
      </c>
    </row>
    <row r="15" spans="1:2" x14ac:dyDescent="0.35">
      <c r="A15" s="1" t="s">
        <v>14</v>
      </c>
      <c r="B15" s="3">
        <f>AVERAGE(B2:B13)</f>
        <v>43.083333333333336</v>
      </c>
    </row>
    <row r="16" spans="1:2" x14ac:dyDescent="0.35">
      <c r="A16" s="1" t="s">
        <v>15</v>
      </c>
      <c r="B16" s="4">
        <f>MEDIAN(B2:B13)</f>
        <v>41.5</v>
      </c>
    </row>
    <row r="17" spans="1:2" x14ac:dyDescent="0.35">
      <c r="A17" s="1" t="s">
        <v>16</v>
      </c>
      <c r="B17">
        <f>_xlfn.MODE.SNGL(B2:B13)</f>
        <v>42</v>
      </c>
    </row>
    <row r="18" spans="1:2" x14ac:dyDescent="0.35">
      <c r="A18" s="1" t="s">
        <v>17</v>
      </c>
      <c r="B18">
        <f>MIN(B2:B13)</f>
        <v>36</v>
      </c>
    </row>
    <row r="19" spans="1:2" x14ac:dyDescent="0.35">
      <c r="A19" s="1" t="s">
        <v>18</v>
      </c>
      <c r="B19">
        <f>MAX(B2:B13)</f>
        <v>68</v>
      </c>
    </row>
    <row r="20" spans="1:2" x14ac:dyDescent="0.35">
      <c r="A20" s="1" t="s">
        <v>19</v>
      </c>
      <c r="B20">
        <f>MAX(B2:B13)-MIN(B2:B13)</f>
        <v>32</v>
      </c>
    </row>
    <row r="21" spans="1:2" x14ac:dyDescent="0.35">
      <c r="A21" s="1" t="s">
        <v>20</v>
      </c>
      <c r="B21" s="5">
        <f>_xlfn.STDEV.S(B2:B13)</f>
        <v>8.4364828230870312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0401-95B6-4039-95BD-E9E7F5B87281}">
  <dimension ref="A1:B5"/>
  <sheetViews>
    <sheetView tabSelected="1" topLeftCell="A11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9" bestFit="1" customWidth="1"/>
  </cols>
  <sheetData>
    <row r="1" spans="1:2" x14ac:dyDescent="0.35">
      <c r="A1" s="7" t="s">
        <v>29</v>
      </c>
      <c r="B1" t="s">
        <v>31</v>
      </c>
    </row>
    <row r="2" spans="1:2" x14ac:dyDescent="0.35">
      <c r="A2" s="2" t="s">
        <v>24</v>
      </c>
      <c r="B2" s="8">
        <v>159</v>
      </c>
    </row>
    <row r="3" spans="1:2" x14ac:dyDescent="0.35">
      <c r="A3" s="2" t="s">
        <v>22</v>
      </c>
      <c r="B3" s="8">
        <v>194</v>
      </c>
    </row>
    <row r="4" spans="1:2" x14ac:dyDescent="0.35">
      <c r="A4" s="2" t="s">
        <v>23</v>
      </c>
      <c r="B4" s="8">
        <v>164</v>
      </c>
    </row>
    <row r="5" spans="1:2" x14ac:dyDescent="0.35">
      <c r="A5" s="2" t="s">
        <v>30</v>
      </c>
      <c r="B5" s="8">
        <v>517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DE27-06AA-4F50-9537-3CE9BDD1C2CB}">
  <dimension ref="A1:D13"/>
  <sheetViews>
    <sheetView workbookViewId="0">
      <selection activeCell="C3" sqref="C3"/>
    </sheetView>
  </sheetViews>
  <sheetFormatPr defaultRowHeight="14.5" x14ac:dyDescent="0.35"/>
  <cols>
    <col min="2" max="2" width="26.08984375" customWidth="1"/>
    <col min="4" max="4" width="12.36328125" customWidth="1"/>
    <col min="5" max="5" width="13.36328125" customWidth="1"/>
  </cols>
  <sheetData>
    <row r="1" spans="1:4" x14ac:dyDescent="0.35">
      <c r="A1" s="1" t="s">
        <v>0</v>
      </c>
      <c r="B1" t="s">
        <v>1</v>
      </c>
      <c r="C1" s="1" t="s">
        <v>21</v>
      </c>
      <c r="D1" t="s">
        <v>25</v>
      </c>
    </row>
    <row r="2" spans="1:4" x14ac:dyDescent="0.35">
      <c r="A2" t="s">
        <v>13</v>
      </c>
      <c r="B2">
        <v>68</v>
      </c>
      <c r="C2" s="6" t="s">
        <v>22</v>
      </c>
      <c r="D2" t="s">
        <v>26</v>
      </c>
    </row>
    <row r="3" spans="1:4" x14ac:dyDescent="0.35">
      <c r="A3" t="s">
        <v>4</v>
      </c>
      <c r="B3">
        <v>47</v>
      </c>
      <c r="C3" t="s">
        <v>22</v>
      </c>
      <c r="D3" t="s">
        <v>27</v>
      </c>
    </row>
    <row r="4" spans="1:4" x14ac:dyDescent="0.35">
      <c r="A4" t="s">
        <v>8</v>
      </c>
      <c r="B4">
        <v>44</v>
      </c>
      <c r="C4" t="s">
        <v>23</v>
      </c>
      <c r="D4" t="s">
        <v>26</v>
      </c>
    </row>
    <row r="5" spans="1:4" x14ac:dyDescent="0.35">
      <c r="A5" t="s">
        <v>11</v>
      </c>
      <c r="B5">
        <v>43</v>
      </c>
      <c r="C5" t="s">
        <v>23</v>
      </c>
      <c r="D5" t="s">
        <v>28</v>
      </c>
    </row>
    <row r="6" spans="1:4" x14ac:dyDescent="0.35">
      <c r="A6" t="s">
        <v>2</v>
      </c>
      <c r="B6">
        <v>42</v>
      </c>
      <c r="C6" t="s">
        <v>24</v>
      </c>
      <c r="D6" t="s">
        <v>27</v>
      </c>
    </row>
    <row r="7" spans="1:4" x14ac:dyDescent="0.35">
      <c r="A7" t="s">
        <v>12</v>
      </c>
      <c r="B7">
        <v>42</v>
      </c>
      <c r="C7" t="s">
        <v>24</v>
      </c>
      <c r="D7" t="s">
        <v>26</v>
      </c>
    </row>
    <row r="8" spans="1:4" x14ac:dyDescent="0.35">
      <c r="A8" t="s">
        <v>6</v>
      </c>
      <c r="B8">
        <v>41</v>
      </c>
      <c r="C8" t="s">
        <v>22</v>
      </c>
      <c r="D8" t="s">
        <v>28</v>
      </c>
    </row>
    <row r="9" spans="1:4" x14ac:dyDescent="0.35">
      <c r="A9" t="s">
        <v>9</v>
      </c>
      <c r="B9">
        <v>40</v>
      </c>
      <c r="C9" t="s">
        <v>23</v>
      </c>
      <c r="D9" t="s">
        <v>27</v>
      </c>
    </row>
    <row r="10" spans="1:4" x14ac:dyDescent="0.35">
      <c r="A10" t="s">
        <v>7</v>
      </c>
      <c r="B10">
        <v>39</v>
      </c>
      <c r="C10" t="s">
        <v>24</v>
      </c>
      <c r="D10" t="s">
        <v>28</v>
      </c>
    </row>
    <row r="11" spans="1:4" x14ac:dyDescent="0.35">
      <c r="A11" t="s">
        <v>3</v>
      </c>
      <c r="B11">
        <v>38</v>
      </c>
      <c r="C11" t="s">
        <v>22</v>
      </c>
      <c r="D11" t="s">
        <v>26</v>
      </c>
    </row>
    <row r="12" spans="1:4" x14ac:dyDescent="0.35">
      <c r="A12" t="s">
        <v>10</v>
      </c>
      <c r="B12">
        <v>37</v>
      </c>
      <c r="C12" t="s">
        <v>23</v>
      </c>
      <c r="D12" t="s">
        <v>28</v>
      </c>
    </row>
    <row r="13" spans="1:4" x14ac:dyDescent="0.35">
      <c r="A13" t="s">
        <v>5</v>
      </c>
      <c r="B13">
        <v>36</v>
      </c>
      <c r="C13" t="s">
        <v>24</v>
      </c>
      <c r="D13" t="s">
        <v>27</v>
      </c>
    </row>
  </sheetData>
  <sortState xmlns:xlrd2="http://schemas.microsoft.com/office/spreadsheetml/2017/richdata2" ref="A2:B13">
    <sortCondition descending="1" ref="B2:B1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2015-06-05T18:17:20Z</dcterms:created>
  <dcterms:modified xsi:type="dcterms:W3CDTF">2026-03-28T02:06:56Z</dcterms:modified>
</cp:coreProperties>
</file>